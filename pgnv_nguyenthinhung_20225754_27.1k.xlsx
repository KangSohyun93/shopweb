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haianhtran/Downloads/"/>
    </mc:Choice>
  </mc:AlternateContent>
  <xr:revisionPtr revIDLastSave="0" documentId="13_ncr:1_{936B0C46-62EA-764C-9438-DA33147985AB}" xr6:coauthVersionLast="47" xr6:coauthVersionMax="47" xr10:uidLastSave="{00000000-0000-0000-0000-000000000000}"/>
  <bookViews>
    <workbookView xWindow="0" yWindow="600" windowWidth="18900" windowHeight="28020" xr2:uid="{1F57E6DD-F58D-4F25-8E97-8B95A318177E}"/>
  </bookViews>
  <sheets>
    <sheet name="Cử nhân" sheetId="1" r:id="rId1"/>
  </sheets>
  <definedNames>
    <definedName name="_xlnm._FilterDatabase" localSheetId="0" hidden="1">'Cử nhân'!$A$18:$B$22</definedName>
    <definedName name="Danh_sách_phân_ban">#REF!</definedName>
    <definedName name="List_of_fields">#REF!</definedName>
    <definedName name="_xlnm.Print_Area" localSheetId="0">'Cử nhân'!$A$2:$K$91</definedName>
    <definedName name="Tuần">#REF!</definedName>
    <definedName name="Week">#REF!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91" i="1" l="1"/>
  <c r="H80" i="1"/>
</calcChain>
</file>

<file path=xl/sharedStrings.xml><?xml version="1.0" encoding="utf-8"?>
<sst xmlns="http://schemas.openxmlformats.org/spreadsheetml/2006/main" count="96" uniqueCount="70">
  <si>
    <t>Mẫu ĐATN 02</t>
  </si>
  <si>
    <t>ĐẠI HỌC BÁCH KHOA HÀ NỘI</t>
  </si>
  <si>
    <t>TRƯỜNG CÔNG NGHỆ THÔNG TIN VÀ TRUYỀN THÔNG</t>
  </si>
  <si>
    <t>PHIẾU GIAO NHIỆM VỤ ĐỒ ÁN TỐT NGHIỆP HỆ CỬ NHÂN</t>
  </si>
  <si>
    <t>KỲ</t>
  </si>
  <si>
    <t>Thông tin về sinh viên</t>
  </si>
  <si>
    <t>Họ và tên sinh viên:</t>
  </si>
  <si>
    <t>Nguyễn Thị Nhung</t>
  </si>
  <si>
    <t>MSSV:</t>
  </si>
  <si>
    <t>Điện thoại liên lạc:</t>
  </si>
  <si>
    <t>0332412145</t>
  </si>
  <si>
    <t>Lớp:</t>
  </si>
  <si>
    <t>Việt Nhật 03 - K67</t>
  </si>
  <si>
    <t>Email:</t>
  </si>
  <si>
    <t>nguyenthinhung29022004@gmail.com</t>
  </si>
  <si>
    <t>Mã lớp:</t>
  </si>
  <si>
    <t>Thông tin giáo viên hướng dẫn</t>
  </si>
  <si>
    <t>Họ và tên GVHD:</t>
  </si>
  <si>
    <t>Trần Hải Anh</t>
  </si>
  <si>
    <t>Đồ án được thực hiện tại:</t>
  </si>
  <si>
    <t>Trường Công nghệ Thông tin và Truyền thông</t>
  </si>
  <si>
    <t xml:space="preserve">Thời gian làm ĐATN: </t>
  </si>
  <si>
    <t>Từ ngày</t>
  </si>
  <si>
    <t>23/02/2026</t>
  </si>
  <si>
    <t>đến ngày</t>
  </si>
  <si>
    <t>22/06/2026</t>
  </si>
  <si>
    <t>1. Tên đề tài:</t>
  </si>
  <si>
    <t>2. Lĩnh vực đề tài:</t>
  </si>
  <si>
    <t>-</t>
  </si>
  <si>
    <t>Lựa chọn 1:</t>
  </si>
  <si>
    <t>Thương mại điện tử (eCommerce) và hậu cần (Logistic)</t>
  </si>
  <si>
    <t>Lựa chọn 2:</t>
  </si>
  <si>
    <t>Lựa chọn 3:</t>
  </si>
  <si>
    <t>Nếu lĩnh vực không nằm trong danh sách có sẵn, giáo viên hướng dẫn có thể đề xuất:</t>
  </si>
  <si>
    <t>3. Mục tiêu của ĐATN:</t>
  </si>
  <si>
    <t>3.1. Kiến thức sinh viên thu thập được:</t>
  </si>
  <si>
    <t>- Quy trình xây dựng nền tảng thương mại điện tử và việc áp dụng trong thực tế các giai đoạn khảo sát, phân tích, thiết kế cơ sở dữ liệu, cài đặt và kiểm thử. Đặc biệt là kinh nghiệm phân tích hành vi người dùng.
- Nắm vững kiến thức toán học, nguyên lý của các thuật toán Data Mining và Recommendation Systems để áp dụng vào thực tiễn.
- Phát triển tất cả các thành phần của một hệ thống ứng dụng web đa tầng (Client - Server - Worker).</t>
  </si>
  <si>
    <t>3.2. Công nghệ sinh viên thu thập được:</t>
  </si>
  <si>
    <t>- Javascript hiện đại trong phát triển web: ReactJS và NodeJS/ExpressJS.
- Các hệ quản trị cơ sở dữ liệu: MySQL để quản lý giao dịch thương mại điện tử và Redis (In-memory Cache) để tối ưu tốc độ truy xuất.
- Ngôn ngữ lập trình Python và cách ứng dụng các thư viện hỗ trợ để viết Worker chạy thuật toán khai phá dữ liệu nền.
- Kiến trúc phần mềm đa tầng và cách thức kết hợp đa công nghệ, thuật toán (Apriori, FP-Growth, Jaccard) trong cùng một hệ thống.</t>
  </si>
  <si>
    <t>3.3. Kỹ năng sinh viên phát triển được:</t>
  </si>
  <si>
    <t>- Tìm kiếm, tổng hợp thông tin, đọc hiểu tài liệu chuyên ngành về các thuật toán khai phá dữ liệu.
- Khả năng phân tích thiết kế hệ thống, lập trình Fullstack và gỡ lỗi trong môi trường phân tán nhiều components, tối ưu hóa truy vấn cơ sở dữ liệu và xử lý luồng dữ liệu bất đồng bộ.
- Khả năng xác định yếu tố trọng tâm, thứ tự ưu tiên khi tích hợp các công nghệ.
- Tính độc lập, chủ động, tư duy giải quyết vấn đề và kiên trì trong lập trình.</t>
  </si>
  <si>
    <t>3.4. Sản phẩm kỳ vọng:</t>
  </si>
  <si>
    <t>- Giao diện Thương mại điện tử:
     + Trang chủ: Tích hợp Infinite scroll và cơ chế hiển thị sản phẩm lai (AI Suggestion + New Arrivals) kết hợp Lazy-loading hình ảnh để tối ưu Web Vitals.
     + Chi tiết sản phẩm: Xử lý logic đa biến thể và gợi ý sản phẩm mua kèm.
     + Giỏ hàng &amp; Thanh toán: Quản lý trạng thái đơn hàng từ lúc đặt hàng đến khi hoàn tất.
     + Dashboard Admin: Quản trị kho hàng, danh mục, đơn hàng.
- Hệ thống Theo dõi hành vi:
     + Module lắng nghe sự kiện bất đồng bộ: Ghi nhận Hover, View và Add-to-cart.
     + Module tiền xử lý: Tự động đánh trọng số điểm tương tác và lưu trữ vào cơ sở dữ liệu theo định danh JWT/Session.
- Hệ thống Hybrid Recommender:
     + Module Content-based: Lập trình thuật toán Jaccard Similarity để tính toán độ tương đồng giữa hồ sơ người dùng và thuộc tính sản phẩm.
     + Module Association Rules: Triển khai thuật toán FP-Growth (giải pháp được lựa chọn sau khi đối sánh hiệu năng với Apriori) chạy trên Worker Python để khai phá các mẫu mua sắm phổ biến.
     + Module Serving: Tích hợp Redis Cache để truy xuất kết quả gợi ý với độ trễ thấp (&lt;100ms) và cơ chế Fallback 3 tầng (AI -&gt; Category -&gt; Trending) cùng thuật toán trộn mảng 80/20 để xử lý bài toán Cold-start.</t>
  </si>
  <si>
    <t xml:space="preserve">3.5. Vấn đề thực tiễn đồ án giải quyết:  </t>
  </si>
  <si>
    <t>- Hỗ trợ cửa hàng tối ưu hóa tỷ lệ chuyển đổi và tăng giá trị đơn hàng trung bình thông qua việc tự động phân tích lịch sử để gợi ý sản phẩm mua kèm.
- Giải quyết bài toán Cold-start trong E-commerce, giúp các sản phẩm mới nhập kho nhanh chóng tiếp cận được đúng đối tượng khách hàng mục tiêu thông qua bộ lọc tương đồng nội dung.</t>
  </si>
  <si>
    <t>4. Các nội dung sẽ thực hiện và kế hoạch triển khai:</t>
  </si>
  <si>
    <t>Lưu ý: khối lượng yêu cầu đối với đồ án tốt nghiệp hệ cử nhân là 6(0-0-12-12), i.e. 12 tiết làm việc/tuần trong 17 tuần.</t>
  </si>
  <si>
    <t>Nội dung 1: Tìm hiểu tổng quan về bài toán,</t>
  </si>
  <si>
    <t>từ Tuần</t>
  </si>
  <si>
    <t>đến Tuần</t>
  </si>
  <si>
    <t>Chi tiết:</t>
  </si>
  <si>
    <t>-Củng cố kiến thức về nền tảng thương mại điện tử và hành vi mua sắm trực tuyến.
- Khảo sát thực trạng các hệ thống gợi ý sản phẩm hiện nay và rào cản của bài toán Cold-start đối với sản phẩm mới.
- Nghiên cứu cơ sở toán học của thuật toán đo độ tương đồng (Jaccard Similarity) và các thuật toán Khai phá luật kết hợp (Apriori, FP-Growth), tiến hành phân tích ưu/nhược điểm để lựa chọn giải pháp tối ưu cho hệ thống.</t>
  </si>
  <si>
    <t>Tìm hiểu hệ thống GPS và các hệ thống định vị toàn cầu trên Thế giới và các hệ thống khu vực trên thế giới</t>
  </si>
  <si>
    <t xml:space="preserve">Nội dung 2: Tìm hiểu tổng quan về công nghệ liên quan, </t>
  </si>
  <si>
    <t>- Javascript, ReactJS, Tailwind CSS, React Router, Socket.IO, Axios.
- NodeJS, ExpressJS, cơ chế xác thực JWT, các giải pháp xử lý file: Multer, Cloudinary, Nodemailer.
- MySQL và In-memory Redis Cache.
- Ngôn ngữ Python và cấu trúc dữ liệu FP-tree.</t>
  </si>
  <si>
    <t>Nội dung 3: Phân tích thiết kế,</t>
  </si>
  <si>
    <t>- Phân tích các usecase cho các vai trò người dùng (Customer, Admin).
- Thiết kế kiến trúc hệ thống đa tầng: Client (Frontend) - Server (Backend API) - Worker (Data Mining).
- Thiết kế mô hình cơ sở dữ liệu (ERD) đạt chuẩn dạng 3 phục vụ quản lý kho hàng đa biến thể.
- Thiết kế giao diện và thiết kế luồng thu thập dữ liệu hành vi.</t>
  </si>
  <si>
    <t>Nội dung 4: Xây dựng chương trình,</t>
  </si>
  <si>
    <t>- Xây dựng các RESTful API services và module quản lý phân quyền người dùng.
- Xây dựng website Frontend bao gồm: Trang chủ, danh sách sản phẩm, chi tiết sản phẩm, giỏ hàng và Admin Dashboard.
- Xây dựng module Tracking ngầm đa hành vi thời gian thực (Hover, View, Add-to-cart).
- Xây dựng hệ thống Hybrid Recommender: Thuật toán Jaccard (Content-based), thuật toán FP-Growth (Association Rules) và cơ chế Fallback điều hướng 3 tầng.</t>
  </si>
  <si>
    <t>Nội dung 5: Thử nghiệm và đánh giá,</t>
  </si>
  <si>
    <t>- Kiểm thử các API services và luồng thanh toán giỏ hàng.
- Dùng dữ liệu ảo để kiểm thử hiệu năng, so sánh khả năng chịu tải và tốc độ xử lý giữa thuật toán Apriori và FP-Growth trên tập dữ liệu lớn.
- Kiểm thử và đánh giá độ chính xác của các kết quả gợi ý cá nhân hóa.
- Hoàn thiện tài liệu, báo cáo và slide bảo vệ.</t>
  </si>
  <si>
    <t>5. Lời cam đoan của sinh viên đã nhận được nhiệm vụ</t>
  </si>
  <si>
    <t>Em xin cam kết sẽ hoàn thành các nhiệm vụ theo đúng kế hoạch.</t>
  </si>
  <si>
    <t>Hà Nội, ngày    25    tháng   4     năm  2026</t>
  </si>
  <si>
    <t>Sinh viên</t>
  </si>
  <si>
    <t>(Ký và ghi rõ họ tên)</t>
  </si>
  <si>
    <t>6. Xác nhận của giáo viên hướng dẫn về việc giao nhiệm vụ cho sinh viên</t>
  </si>
  <si>
    <t xml:space="preserve">Hà Nội, ngày        tháng        năm  </t>
  </si>
  <si>
    <t>Giảng viên hướng dẫn</t>
  </si>
  <si>
    <t>Thiết kế và xây dựng website thương mại điện tử tích hợp hệ thống gợi ý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</si>
</sst>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1"/>
      <color theme="1"/>
      <name val="Arial"/>
      <family val="2"/>
    </font>
    <font>
      <sz val="11"/>
      <color theme="1"/>
      <name val="Times New Roman"/>
      <family val="1"/>
    </font>
    <font>
      <b/>
      <sz val="11"/>
      <color theme="1"/>
      <name val="Arial"/>
      <family val="2"/>
    </font>
    <font>
      <u/>
      <sz val="12"/>
      <color theme="10"/>
      <name val="Calibri"/>
      <family val="2"/>
      <scheme val="minor"/>
    </font>
    <font>
      <i/>
      <sz val="11"/>
      <color theme="1"/>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s>
  <borders count="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0" borderId="0" xfId="0" applyFont="1"/>
    <xf numFmtId="0" fontId="3" fillId="0" borderId="0" xfId="0" applyFont="1" applyAlignment="1">
      <alignment horizontal="center" vertical="center"/>
    </xf>
    <xf numFmtId="0" fontId="1" fillId="0" borderId="0" xfId="0" applyFont="1" applyAlignment="1">
      <alignment vertical="center"/>
    </xf>
    <xf numFmtId="0" fontId="3" fillId="0" borderId="0" xfId="0" applyFont="1" applyAlignment="1">
      <alignment vertical="center"/>
    </xf>
    <xf numFmtId="0" fontId="1" fillId="2" borderId="0" xfId="0" applyFont="1" applyFill="1" applyAlignment="1" applyProtection="1">
      <alignment horizontal="center" vertical="center"/>
      <protection locked="0"/>
    </xf>
    <xf numFmtId="0" fontId="1" fillId="0" borderId="0" xfId="0" applyFont="1" applyAlignment="1">
      <alignment horizontal="center" vertical="center"/>
    </xf>
    <xf numFmtId="0" fontId="3" fillId="0" borderId="0" xfId="0" applyFont="1"/>
    <xf numFmtId="0" fontId="1" fillId="0" borderId="0" xfId="0" quotePrefix="1" applyFont="1" applyAlignment="1">
      <alignment horizontal="center"/>
    </xf>
    <xf numFmtId="0" fontId="3" fillId="0" borderId="0" xfId="0" applyFont="1" applyAlignment="1">
      <alignment horizontal="left"/>
    </xf>
    <xf numFmtId="0" fontId="1" fillId="3" borderId="0" xfId="0" applyFont="1" applyFill="1" applyAlignment="1" applyProtection="1">
      <alignment horizontal="center" vertical="center"/>
      <protection locked="0"/>
    </xf>
    <xf numFmtId="0" fontId="5" fillId="0" borderId="0" xfId="0" applyFont="1"/>
    <xf numFmtId="0" fontId="5" fillId="0" borderId="0" xfId="0" applyFont="1" applyAlignment="1" applyProtection="1">
      <alignment horizontal="centerContinuous" vertical="center"/>
      <protection locked="0"/>
    </xf>
    <xf numFmtId="0" fontId="3" fillId="0" borderId="0" xfId="0" applyFont="1" applyAlignment="1">
      <alignment horizontal="centerContinuous" vertical="center"/>
    </xf>
    <xf numFmtId="0" fontId="5" fillId="0" borderId="0" xfId="0" applyFont="1" applyAlignment="1">
      <alignment horizontal="centerContinuous"/>
    </xf>
    <xf numFmtId="0" fontId="1" fillId="0" borderId="0" xfId="0" applyFont="1" applyAlignment="1">
      <alignment horizontal="centerContinuous"/>
    </xf>
    <xf numFmtId="0" fontId="3" fillId="0" borderId="0" xfId="0" applyFont="1" applyAlignment="1" applyProtection="1">
      <alignment horizontal="centerContinuous"/>
      <protection locked="0"/>
    </xf>
    <xf numFmtId="0" fontId="5" fillId="0" borderId="0" xfId="0" applyFont="1" applyAlignment="1" applyProtection="1">
      <alignment horizontal="centerContinuous"/>
      <protection locked="0"/>
    </xf>
    <xf numFmtId="0" fontId="5" fillId="0" borderId="0" xfId="0" applyFont="1" applyAlignment="1">
      <alignment horizontal="left" vertical="center" wrapText="1"/>
    </xf>
    <xf numFmtId="49" fontId="1" fillId="2" borderId="0" xfId="0" quotePrefix="1" applyNumberFormat="1" applyFont="1" applyFill="1" applyAlignment="1" applyProtection="1">
      <alignment horizontal="left" vertical="top" wrapText="1"/>
      <protection locked="0"/>
    </xf>
    <xf numFmtId="49" fontId="1" fillId="2" borderId="0" xfId="0" quotePrefix="1" applyNumberFormat="1" applyFont="1" applyFill="1" applyAlignment="1" applyProtection="1">
      <alignment horizontal="left" vertical="top"/>
      <protection locked="0"/>
    </xf>
    <xf numFmtId="49" fontId="1" fillId="2" borderId="0" xfId="0" quotePrefix="1" applyNumberFormat="1" applyFont="1" applyFill="1" applyAlignment="1" applyProtection="1">
      <alignment horizontal="center" vertical="center" wrapText="1"/>
      <protection locked="0"/>
    </xf>
    <xf numFmtId="49" fontId="1" fillId="2" borderId="0" xfId="0" quotePrefix="1" applyNumberFormat="1" applyFont="1" applyFill="1" applyAlignment="1" applyProtection="1">
      <alignment horizontal="center" vertical="center"/>
      <protection locked="0"/>
    </xf>
    <xf numFmtId="14" fontId="1" fillId="2" borderId="0" xfId="0" applyNumberFormat="1" applyFont="1" applyFill="1" applyAlignment="1" applyProtection="1">
      <alignment horizontal="center" vertical="center"/>
      <protection locked="0"/>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wrapText="1"/>
      <protection locked="0"/>
    </xf>
    <xf numFmtId="0" fontId="1" fillId="3" borderId="0" xfId="0" applyFont="1" applyFill="1" applyAlignment="1" applyProtection="1">
      <alignment horizontal="left"/>
      <protection locked="0"/>
    </xf>
    <xf numFmtId="0" fontId="1" fillId="2" borderId="0" xfId="0" quotePrefix="1" applyFont="1" applyFill="1" applyAlignment="1" applyProtection="1">
      <alignment horizontal="left" vertical="center"/>
      <protection locked="0"/>
    </xf>
    <xf numFmtId="0" fontId="1" fillId="2" borderId="0" xfId="0" applyFont="1" applyFill="1" applyAlignment="1" applyProtection="1">
      <alignment horizontal="left" vertical="center"/>
      <protection locked="0"/>
    </xf>
    <xf numFmtId="0" fontId="4" fillId="2" borderId="0" xfId="1" applyFill="1" applyAlignment="1" applyProtection="1">
      <alignment horizontal="left" vertical="center"/>
      <protection locked="0"/>
    </xf>
    <xf numFmtId="0" fontId="2" fillId="0" borderId="1" xfId="0" applyFont="1" applyBorder="1" applyAlignment="1">
      <alignment horizontal="center"/>
    </xf>
    <xf numFmtId="0" fontId="2" fillId="0" borderId="2" xfId="0" applyFont="1" applyBorder="1" applyAlignment="1">
      <alignment horizontal="center"/>
    </xf>
    <xf numFmtId="0" fontId="3"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guyenthinhung2902200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09492-27AD-4A4C-81B7-A6F38E790A55}">
  <sheetPr>
    <pageSetUpPr fitToPage="1"/>
  </sheetPr>
  <dimension ref="A1:K91"/>
  <sheetViews>
    <sheetView tabSelected="1" showWhiteSpace="0" topLeftCell="A6" zoomScale="131" zoomScaleNormal="100" zoomScalePageLayoutView="144" workbookViewId="0">
      <selection activeCell="L25" sqref="L25"/>
    </sheetView>
  </sheetViews>
  <sheetFormatPr baseColWidth="10" defaultColWidth="10.83203125" defaultRowHeight="14" x14ac:dyDescent="0.15"/>
  <cols>
    <col min="1" max="1" width="4.83203125" style="1" customWidth="1"/>
    <col min="2" max="2" width="17.5" style="1" customWidth="1"/>
    <col min="3" max="3" width="7.6640625" style="1" customWidth="1"/>
    <col min="4" max="4" width="4.6640625" style="1" customWidth="1"/>
    <col min="5" max="5" width="10" style="1" customWidth="1"/>
    <col min="6" max="6" width="8.33203125" style="1" customWidth="1"/>
    <col min="7" max="7" width="7.33203125" style="1" customWidth="1"/>
    <col min="8" max="8" width="8.83203125" style="1" customWidth="1"/>
    <col min="9" max="9" width="9.33203125" style="1" customWidth="1"/>
    <col min="10" max="10" width="8.83203125" style="1" customWidth="1"/>
    <col min="11" max="11" width="6.6640625" style="1" customWidth="1"/>
    <col min="12" max="16384" width="10.83203125" style="1"/>
  </cols>
  <sheetData>
    <row r="1" spans="1:11" x14ac:dyDescent="0.15">
      <c r="J1" s="30" t="s">
        <v>0</v>
      </c>
      <c r="K1" s="31"/>
    </row>
    <row r="2" spans="1:11" x14ac:dyDescent="0.15">
      <c r="A2" s="32" t="s">
        <v>1</v>
      </c>
      <c r="B2" s="32"/>
      <c r="C2" s="32"/>
      <c r="D2" s="32"/>
      <c r="E2" s="32"/>
      <c r="F2" s="32"/>
      <c r="G2" s="32"/>
      <c r="H2" s="32"/>
      <c r="I2" s="32"/>
      <c r="J2" s="32"/>
      <c r="K2" s="32"/>
    </row>
    <row r="3" spans="1:11" x14ac:dyDescent="0.15">
      <c r="A3" s="32" t="s">
        <v>2</v>
      </c>
      <c r="B3" s="32"/>
      <c r="C3" s="32"/>
      <c r="D3" s="32"/>
      <c r="E3" s="32"/>
      <c r="F3" s="32"/>
      <c r="G3" s="32"/>
      <c r="H3" s="32"/>
      <c r="I3" s="32"/>
      <c r="J3" s="32"/>
      <c r="K3" s="32"/>
    </row>
    <row r="5" spans="1:11" x14ac:dyDescent="0.15">
      <c r="A5" s="32" t="s">
        <v>3</v>
      </c>
      <c r="B5" s="32"/>
      <c r="C5" s="32"/>
      <c r="D5" s="32"/>
      <c r="E5" s="32"/>
      <c r="F5" s="32"/>
      <c r="G5" s="32"/>
      <c r="H5" s="32"/>
      <c r="I5" s="32"/>
      <c r="J5" s="32"/>
      <c r="K5" s="32"/>
    </row>
    <row r="6" spans="1:11" x14ac:dyDescent="0.15">
      <c r="A6" s="3"/>
      <c r="B6" s="4"/>
      <c r="C6" s="4"/>
      <c r="D6" s="4"/>
      <c r="E6" s="2" t="s">
        <v>4</v>
      </c>
      <c r="F6" s="5">
        <v>2025.2</v>
      </c>
      <c r="G6" s="4"/>
      <c r="H6" s="3"/>
      <c r="I6" s="3"/>
      <c r="J6" s="3"/>
    </row>
    <row r="7" spans="1:11" x14ac:dyDescent="0.15">
      <c r="A7" s="3"/>
      <c r="B7" s="3"/>
      <c r="C7" s="3"/>
      <c r="D7" s="3"/>
      <c r="E7" s="3"/>
      <c r="F7" s="3"/>
      <c r="G7" s="3"/>
      <c r="H7" s="3"/>
      <c r="I7" s="3"/>
      <c r="J7" s="3"/>
      <c r="K7" s="3"/>
    </row>
    <row r="8" spans="1:11" x14ac:dyDescent="0.15">
      <c r="A8" s="4" t="s">
        <v>5</v>
      </c>
      <c r="B8" s="3"/>
      <c r="C8" s="3"/>
      <c r="D8" s="3"/>
      <c r="E8" s="3"/>
      <c r="F8" s="3"/>
      <c r="G8" s="3"/>
      <c r="H8" s="3"/>
      <c r="I8" s="3"/>
      <c r="J8" s="3"/>
      <c r="K8" s="3"/>
    </row>
    <row r="9" spans="1:11" x14ac:dyDescent="0.15">
      <c r="A9" s="3" t="s">
        <v>6</v>
      </c>
      <c r="B9" s="3"/>
      <c r="C9" s="28" t="s">
        <v>7</v>
      </c>
      <c r="D9" s="28"/>
      <c r="E9" s="28"/>
      <c r="F9" s="28"/>
      <c r="G9" s="28"/>
      <c r="H9" s="3" t="s">
        <v>8</v>
      </c>
      <c r="I9" s="28">
        <v>20225754</v>
      </c>
      <c r="J9" s="28"/>
      <c r="K9" s="28"/>
    </row>
    <row r="10" spans="1:11" x14ac:dyDescent="0.15">
      <c r="A10" s="3" t="s">
        <v>9</v>
      </c>
      <c r="B10" s="3"/>
      <c r="C10" s="27" t="s">
        <v>10</v>
      </c>
      <c r="D10" s="28"/>
      <c r="E10" s="28"/>
      <c r="F10" s="28"/>
      <c r="G10" s="28"/>
      <c r="H10" s="3" t="s">
        <v>11</v>
      </c>
      <c r="I10" s="28" t="s">
        <v>12</v>
      </c>
      <c r="J10" s="28"/>
      <c r="K10" s="28"/>
    </row>
    <row r="11" spans="1:11" ht="16" x14ac:dyDescent="0.15">
      <c r="A11" s="3" t="s">
        <v>13</v>
      </c>
      <c r="B11" s="3"/>
      <c r="C11" s="29" t="s">
        <v>14</v>
      </c>
      <c r="D11" s="28"/>
      <c r="E11" s="28"/>
      <c r="F11" s="28"/>
      <c r="G11" s="28"/>
      <c r="H11" s="3" t="s">
        <v>15</v>
      </c>
      <c r="I11" s="28"/>
      <c r="J11" s="28"/>
      <c r="K11" s="28"/>
    </row>
    <row r="12" spans="1:11" x14ac:dyDescent="0.15">
      <c r="A12" s="4" t="s">
        <v>16</v>
      </c>
      <c r="B12" s="3"/>
      <c r="C12" s="3"/>
      <c r="D12" s="3"/>
      <c r="E12" s="3"/>
      <c r="F12" s="3"/>
      <c r="G12" s="3"/>
      <c r="H12" s="3"/>
      <c r="I12" s="3"/>
      <c r="J12" s="3"/>
      <c r="K12" s="3"/>
    </row>
    <row r="13" spans="1:11" x14ac:dyDescent="0.15">
      <c r="A13" s="3" t="s">
        <v>17</v>
      </c>
      <c r="B13" s="3"/>
      <c r="C13" s="28" t="s">
        <v>18</v>
      </c>
      <c r="D13" s="28"/>
      <c r="E13" s="28"/>
      <c r="F13" s="28"/>
      <c r="G13" s="28"/>
      <c r="H13" s="28"/>
      <c r="I13" s="28"/>
      <c r="J13" s="28"/>
      <c r="K13" s="28"/>
    </row>
    <row r="14" spans="1:11" x14ac:dyDescent="0.15">
      <c r="A14" s="3" t="s">
        <v>19</v>
      </c>
      <c r="B14" s="3"/>
      <c r="C14" s="28" t="s">
        <v>20</v>
      </c>
      <c r="D14" s="28"/>
      <c r="E14" s="28"/>
      <c r="F14" s="28"/>
      <c r="G14" s="28"/>
      <c r="H14" s="28"/>
      <c r="I14" s="28"/>
      <c r="J14" s="28"/>
      <c r="K14" s="28"/>
    </row>
    <row r="15" spans="1:11" ht="15.75" customHeight="1" x14ac:dyDescent="0.15">
      <c r="A15" s="3" t="s">
        <v>21</v>
      </c>
      <c r="B15" s="3"/>
      <c r="C15" s="3" t="s">
        <v>22</v>
      </c>
      <c r="D15" s="23" t="s">
        <v>23</v>
      </c>
      <c r="E15" s="24"/>
      <c r="F15" s="24"/>
      <c r="G15" s="24"/>
      <c r="H15" s="6" t="s">
        <v>24</v>
      </c>
      <c r="I15" s="23" t="s">
        <v>25</v>
      </c>
      <c r="J15" s="24"/>
      <c r="K15" s="24"/>
    </row>
    <row r="16" spans="1:11" x14ac:dyDescent="0.15">
      <c r="A16" s="4" t="s">
        <v>26</v>
      </c>
      <c r="B16" s="3"/>
      <c r="C16" s="3"/>
      <c r="D16" s="3"/>
      <c r="E16" s="3"/>
      <c r="F16" s="3"/>
      <c r="G16" s="3"/>
      <c r="H16" s="3"/>
      <c r="I16" s="3"/>
      <c r="J16" s="3"/>
      <c r="K16" s="3"/>
    </row>
    <row r="17" spans="1:11" ht="36" customHeight="1" x14ac:dyDescent="0.15">
      <c r="A17" s="25" t="s">
        <v>69</v>
      </c>
      <c r="B17" s="25"/>
      <c r="C17" s="25"/>
      <c r="D17" s="25"/>
      <c r="E17" s="25"/>
      <c r="F17" s="25"/>
      <c r="G17" s="25"/>
      <c r="H17" s="25"/>
      <c r="I17" s="25"/>
      <c r="J17" s="25"/>
      <c r="K17" s="25"/>
    </row>
    <row r="18" spans="1:11" x14ac:dyDescent="0.15">
      <c r="A18" s="7" t="s">
        <v>27</v>
      </c>
    </row>
    <row r="19" spans="1:11" x14ac:dyDescent="0.15">
      <c r="A19" s="8" t="s">
        <v>28</v>
      </c>
      <c r="B19" s="1" t="s">
        <v>29</v>
      </c>
      <c r="C19" s="26" t="s">
        <v>30</v>
      </c>
      <c r="D19" s="26"/>
      <c r="E19" s="26"/>
      <c r="F19" s="26"/>
      <c r="G19" s="26"/>
      <c r="H19" s="26"/>
      <c r="I19" s="26"/>
      <c r="J19" s="26"/>
      <c r="K19" s="26"/>
    </row>
    <row r="20" spans="1:11" x14ac:dyDescent="0.15">
      <c r="A20" s="8" t="s">
        <v>28</v>
      </c>
      <c r="B20" s="1" t="s">
        <v>31</v>
      </c>
      <c r="C20" s="26"/>
      <c r="D20" s="26"/>
      <c r="E20" s="26"/>
      <c r="F20" s="26"/>
      <c r="G20" s="26"/>
      <c r="H20" s="26"/>
      <c r="I20" s="26"/>
      <c r="J20" s="26"/>
      <c r="K20" s="26"/>
    </row>
    <row r="21" spans="1:11" x14ac:dyDescent="0.15">
      <c r="A21" s="8" t="s">
        <v>28</v>
      </c>
      <c r="B21" s="1" t="s">
        <v>32</v>
      </c>
      <c r="C21" s="26"/>
      <c r="D21" s="26"/>
      <c r="E21" s="26"/>
      <c r="F21" s="26"/>
      <c r="G21" s="26"/>
      <c r="H21" s="26"/>
      <c r="I21" s="26"/>
      <c r="J21" s="26"/>
      <c r="K21" s="26"/>
    </row>
    <row r="22" spans="1:11" x14ac:dyDescent="0.15">
      <c r="A22" s="8" t="s">
        <v>28</v>
      </c>
      <c r="B22" s="1" t="s">
        <v>33</v>
      </c>
    </row>
    <row r="23" spans="1:11" ht="16.5" customHeight="1" x14ac:dyDescent="0.15">
      <c r="A23" s="21"/>
      <c r="B23" s="22"/>
      <c r="C23" s="22"/>
      <c r="D23" s="22"/>
      <c r="E23" s="22"/>
      <c r="F23" s="22"/>
      <c r="G23" s="22"/>
      <c r="H23" s="22"/>
      <c r="I23" s="22"/>
      <c r="J23" s="22"/>
      <c r="K23" s="22"/>
    </row>
    <row r="24" spans="1:11" x14ac:dyDescent="0.15">
      <c r="A24" s="9" t="s">
        <v>34</v>
      </c>
    </row>
    <row r="25" spans="1:11" x14ac:dyDescent="0.15">
      <c r="A25" s="1" t="s">
        <v>35</v>
      </c>
    </row>
    <row r="26" spans="1:11" x14ac:dyDescent="0.15">
      <c r="A26" s="19" t="s">
        <v>36</v>
      </c>
      <c r="B26" s="20"/>
      <c r="C26" s="20"/>
      <c r="D26" s="20"/>
      <c r="E26" s="20"/>
      <c r="F26" s="20"/>
      <c r="G26" s="20"/>
      <c r="H26" s="20"/>
      <c r="I26" s="20"/>
      <c r="J26" s="20"/>
      <c r="K26" s="20"/>
    </row>
    <row r="27" spans="1:11" x14ac:dyDescent="0.15">
      <c r="A27" s="20"/>
      <c r="B27" s="20"/>
      <c r="C27" s="20"/>
      <c r="D27" s="20"/>
      <c r="E27" s="20"/>
      <c r="F27" s="20"/>
      <c r="G27" s="20"/>
      <c r="H27" s="20"/>
      <c r="I27" s="20"/>
      <c r="J27" s="20"/>
      <c r="K27" s="20"/>
    </row>
    <row r="28" spans="1:11" ht="42.5" customHeight="1" x14ac:dyDescent="0.15">
      <c r="A28" s="20"/>
      <c r="B28" s="20"/>
      <c r="C28" s="20"/>
      <c r="D28" s="20"/>
      <c r="E28" s="20"/>
      <c r="F28" s="20"/>
      <c r="G28" s="20"/>
      <c r="H28" s="20"/>
      <c r="I28" s="20"/>
      <c r="J28" s="20"/>
      <c r="K28" s="20"/>
    </row>
    <row r="29" spans="1:11" x14ac:dyDescent="0.15">
      <c r="A29" s="1" t="s">
        <v>37</v>
      </c>
    </row>
    <row r="30" spans="1:11" x14ac:dyDescent="0.15">
      <c r="A30" s="19" t="s">
        <v>38</v>
      </c>
      <c r="B30" s="20"/>
      <c r="C30" s="20"/>
      <c r="D30" s="20"/>
      <c r="E30" s="20"/>
      <c r="F30" s="20"/>
      <c r="G30" s="20"/>
      <c r="H30" s="20"/>
      <c r="I30" s="20"/>
      <c r="J30" s="20"/>
      <c r="K30" s="20"/>
    </row>
    <row r="31" spans="1:11" x14ac:dyDescent="0.15">
      <c r="A31" s="20" t="s">
        <v>28</v>
      </c>
      <c r="B31" s="20"/>
      <c r="C31" s="20"/>
      <c r="D31" s="20"/>
      <c r="E31" s="20"/>
      <c r="F31" s="20"/>
      <c r="G31" s="20"/>
      <c r="H31" s="20"/>
      <c r="I31" s="20"/>
      <c r="J31" s="20"/>
      <c r="K31" s="20"/>
    </row>
    <row r="32" spans="1:11" ht="58.25" customHeight="1" x14ac:dyDescent="0.15">
      <c r="A32" s="20" t="s">
        <v>28</v>
      </c>
      <c r="B32" s="20"/>
      <c r="C32" s="20"/>
      <c r="D32" s="20"/>
      <c r="E32" s="20"/>
      <c r="F32" s="20"/>
      <c r="G32" s="20"/>
      <c r="H32" s="20"/>
      <c r="I32" s="20"/>
      <c r="J32" s="20"/>
      <c r="K32" s="20"/>
    </row>
    <row r="33" spans="1:11" x14ac:dyDescent="0.15">
      <c r="A33" s="1" t="s">
        <v>39</v>
      </c>
    </row>
    <row r="34" spans="1:11" ht="81" customHeight="1" x14ac:dyDescent="0.15">
      <c r="A34" s="19" t="s">
        <v>40</v>
      </c>
      <c r="B34" s="20"/>
      <c r="C34" s="20"/>
      <c r="D34" s="20"/>
      <c r="E34" s="20"/>
      <c r="F34" s="20"/>
      <c r="G34" s="20"/>
      <c r="H34" s="20"/>
      <c r="I34" s="20"/>
      <c r="J34" s="20"/>
      <c r="K34" s="20"/>
    </row>
    <row r="35" spans="1:11" x14ac:dyDescent="0.15">
      <c r="A35" s="1" t="s">
        <v>41</v>
      </c>
    </row>
    <row r="36" spans="1:11" x14ac:dyDescent="0.15">
      <c r="A36" s="19" t="s">
        <v>42</v>
      </c>
      <c r="B36" s="20"/>
      <c r="C36" s="20"/>
      <c r="D36" s="20"/>
      <c r="E36" s="20"/>
      <c r="F36" s="20"/>
      <c r="G36" s="20"/>
      <c r="H36" s="20"/>
      <c r="I36" s="20"/>
      <c r="J36" s="20"/>
      <c r="K36" s="20"/>
    </row>
    <row r="37" spans="1:11" x14ac:dyDescent="0.15">
      <c r="A37" s="20"/>
      <c r="B37" s="20"/>
      <c r="C37" s="20"/>
      <c r="D37" s="20"/>
      <c r="E37" s="20"/>
      <c r="F37" s="20"/>
      <c r="G37" s="20"/>
      <c r="H37" s="20"/>
      <c r="I37" s="20"/>
      <c r="J37" s="20"/>
      <c r="K37" s="20"/>
    </row>
    <row r="38" spans="1:11" ht="198" customHeight="1" x14ac:dyDescent="0.15">
      <c r="A38" s="20"/>
      <c r="B38" s="20"/>
      <c r="C38" s="20"/>
      <c r="D38" s="20"/>
      <c r="E38" s="20"/>
      <c r="F38" s="20"/>
      <c r="G38" s="20"/>
      <c r="H38" s="20"/>
      <c r="I38" s="20"/>
      <c r="J38" s="20"/>
      <c r="K38" s="20"/>
    </row>
    <row r="39" spans="1:11" x14ac:dyDescent="0.15">
      <c r="A39" s="1" t="s">
        <v>43</v>
      </c>
    </row>
    <row r="40" spans="1:11" x14ac:dyDescent="0.15">
      <c r="A40" s="19" t="s">
        <v>44</v>
      </c>
      <c r="B40" s="20"/>
      <c r="C40" s="20"/>
      <c r="D40" s="20"/>
      <c r="E40" s="20"/>
      <c r="F40" s="20"/>
      <c r="G40" s="20"/>
      <c r="H40" s="20"/>
      <c r="I40" s="20"/>
      <c r="J40" s="20"/>
      <c r="K40" s="20"/>
    </row>
    <row r="41" spans="1:11" x14ac:dyDescent="0.15">
      <c r="A41" s="20" t="s">
        <v>28</v>
      </c>
      <c r="B41" s="20"/>
      <c r="C41" s="20"/>
      <c r="D41" s="20"/>
      <c r="E41" s="20"/>
      <c r="F41" s="20"/>
      <c r="G41" s="20"/>
      <c r="H41" s="20"/>
      <c r="I41" s="20"/>
      <c r="J41" s="20"/>
      <c r="K41" s="20"/>
    </row>
    <row r="42" spans="1:11" ht="52.75" customHeight="1" x14ac:dyDescent="0.15">
      <c r="A42" s="20" t="s">
        <v>28</v>
      </c>
      <c r="B42" s="20"/>
      <c r="C42" s="20"/>
      <c r="D42" s="20"/>
      <c r="E42" s="20"/>
      <c r="F42" s="20"/>
      <c r="G42" s="20"/>
      <c r="H42" s="20"/>
      <c r="I42" s="20"/>
      <c r="J42" s="20"/>
      <c r="K42" s="20"/>
    </row>
    <row r="43" spans="1:11" x14ac:dyDescent="0.15">
      <c r="A43" s="7" t="s">
        <v>45</v>
      </c>
    </row>
    <row r="44" spans="1:11" x14ac:dyDescent="0.15">
      <c r="A44" s="18" t="s">
        <v>46</v>
      </c>
      <c r="B44" s="18"/>
      <c r="C44" s="18"/>
      <c r="D44" s="18"/>
      <c r="E44" s="18"/>
      <c r="F44" s="18"/>
      <c r="G44" s="18"/>
      <c r="H44" s="18"/>
      <c r="I44" s="18"/>
      <c r="J44" s="18"/>
      <c r="K44" s="18"/>
    </row>
    <row r="45" spans="1:11" x14ac:dyDescent="0.15">
      <c r="A45" s="7" t="s">
        <v>47</v>
      </c>
      <c r="G45" s="1" t="s">
        <v>48</v>
      </c>
      <c r="H45" s="10">
        <v>1</v>
      </c>
      <c r="I45" s="1" t="s">
        <v>49</v>
      </c>
      <c r="J45" s="10">
        <v>4</v>
      </c>
    </row>
    <row r="46" spans="1:11" x14ac:dyDescent="0.15">
      <c r="A46" s="1" t="s">
        <v>50</v>
      </c>
    </row>
    <row r="47" spans="1:11" x14ac:dyDescent="0.15">
      <c r="A47" s="19" t="s">
        <v>51</v>
      </c>
      <c r="B47" s="20" t="s">
        <v>52</v>
      </c>
      <c r="C47" s="20"/>
      <c r="D47" s="20"/>
      <c r="E47" s="20"/>
      <c r="F47" s="20"/>
      <c r="G47" s="20"/>
      <c r="H47" s="20"/>
      <c r="I47" s="20"/>
      <c r="J47" s="20"/>
      <c r="K47" s="20"/>
    </row>
    <row r="48" spans="1:11" x14ac:dyDescent="0.15">
      <c r="A48" s="20" t="s">
        <v>28</v>
      </c>
      <c r="B48" s="20"/>
      <c r="C48" s="20"/>
      <c r="D48" s="20"/>
      <c r="E48" s="20"/>
      <c r="F48" s="20"/>
      <c r="G48" s="20"/>
      <c r="H48" s="20"/>
      <c r="I48" s="20"/>
      <c r="J48" s="20"/>
      <c r="K48" s="20"/>
    </row>
    <row r="49" spans="1:11" ht="33.5" customHeight="1" x14ac:dyDescent="0.15">
      <c r="A49" s="20" t="s">
        <v>28</v>
      </c>
      <c r="B49" s="20"/>
      <c r="C49" s="20"/>
      <c r="D49" s="20"/>
      <c r="E49" s="20"/>
      <c r="F49" s="20"/>
      <c r="G49" s="20"/>
      <c r="H49" s="20"/>
      <c r="I49" s="20"/>
      <c r="J49" s="20"/>
      <c r="K49" s="20"/>
    </row>
    <row r="50" spans="1:11" x14ac:dyDescent="0.15">
      <c r="A50" s="7" t="s">
        <v>53</v>
      </c>
      <c r="G50" s="1" t="s">
        <v>48</v>
      </c>
      <c r="H50" s="10">
        <v>2</v>
      </c>
      <c r="I50" s="1" t="s">
        <v>49</v>
      </c>
      <c r="J50" s="10">
        <v>6</v>
      </c>
    </row>
    <row r="51" spans="1:11" x14ac:dyDescent="0.15">
      <c r="A51" s="1" t="s">
        <v>50</v>
      </c>
    </row>
    <row r="52" spans="1:11" x14ac:dyDescent="0.15">
      <c r="A52" s="19" t="s">
        <v>54</v>
      </c>
      <c r="B52" s="20"/>
      <c r="C52" s="20"/>
      <c r="D52" s="20"/>
      <c r="E52" s="20"/>
      <c r="F52" s="20"/>
      <c r="G52" s="20"/>
      <c r="H52" s="20"/>
      <c r="I52" s="20"/>
      <c r="J52" s="20"/>
      <c r="K52" s="20"/>
    </row>
    <row r="53" spans="1:11" x14ac:dyDescent="0.15">
      <c r="A53" s="20" t="s">
        <v>28</v>
      </c>
      <c r="B53" s="20"/>
      <c r="C53" s="20"/>
      <c r="D53" s="20"/>
      <c r="E53" s="20"/>
      <c r="F53" s="20"/>
      <c r="G53" s="20"/>
      <c r="H53" s="20"/>
      <c r="I53" s="20"/>
      <c r="J53" s="20"/>
      <c r="K53" s="20"/>
    </row>
    <row r="54" spans="1:11" ht="31.25" customHeight="1" x14ac:dyDescent="0.15">
      <c r="A54" s="20" t="s">
        <v>28</v>
      </c>
      <c r="B54" s="20"/>
      <c r="C54" s="20"/>
      <c r="D54" s="20"/>
      <c r="E54" s="20"/>
      <c r="F54" s="20"/>
      <c r="G54" s="20"/>
      <c r="H54" s="20"/>
      <c r="I54" s="20"/>
      <c r="J54" s="20"/>
      <c r="K54" s="20"/>
    </row>
    <row r="55" spans="1:11" x14ac:dyDescent="0.15">
      <c r="A55" s="7" t="s">
        <v>55</v>
      </c>
      <c r="G55" s="1" t="s">
        <v>48</v>
      </c>
      <c r="H55" s="10">
        <v>5</v>
      </c>
      <c r="I55" s="1" t="s">
        <v>49</v>
      </c>
      <c r="J55" s="10">
        <v>9</v>
      </c>
    </row>
    <row r="56" spans="1:11" x14ac:dyDescent="0.15">
      <c r="A56" s="1" t="s">
        <v>50</v>
      </c>
    </row>
    <row r="57" spans="1:11" ht="13" customHeight="1" x14ac:dyDescent="0.15">
      <c r="A57" s="19" t="s">
        <v>56</v>
      </c>
      <c r="B57" s="20"/>
      <c r="C57" s="20"/>
      <c r="D57" s="20"/>
      <c r="E57" s="20"/>
      <c r="F57" s="20"/>
      <c r="G57" s="20"/>
      <c r="H57" s="20"/>
      <c r="I57" s="20"/>
      <c r="J57" s="20"/>
      <c r="K57" s="20"/>
    </row>
    <row r="58" spans="1:11" ht="27" customHeight="1" x14ac:dyDescent="0.15">
      <c r="A58" s="20"/>
      <c r="B58" s="20"/>
      <c r="C58" s="20"/>
      <c r="D58" s="20"/>
      <c r="E58" s="20"/>
      <c r="F58" s="20"/>
      <c r="G58" s="20"/>
      <c r="H58" s="20"/>
      <c r="I58" s="20"/>
      <c r="J58" s="20"/>
      <c r="K58" s="20"/>
    </row>
    <row r="59" spans="1:11" ht="40.25" customHeight="1" x14ac:dyDescent="0.15">
      <c r="A59" s="20"/>
      <c r="B59" s="20"/>
      <c r="C59" s="20"/>
      <c r="D59" s="20"/>
      <c r="E59" s="20"/>
      <c r="F59" s="20"/>
      <c r="G59" s="20"/>
      <c r="H59" s="20"/>
      <c r="I59" s="20"/>
      <c r="J59" s="20"/>
      <c r="K59" s="20"/>
    </row>
    <row r="60" spans="1:11" x14ac:dyDescent="0.15">
      <c r="A60" s="7" t="s">
        <v>57</v>
      </c>
      <c r="G60" s="1" t="s">
        <v>48</v>
      </c>
      <c r="H60" s="10">
        <v>8</v>
      </c>
      <c r="I60" s="1" t="s">
        <v>49</v>
      </c>
      <c r="J60" s="10">
        <v>15</v>
      </c>
    </row>
    <row r="61" spans="1:11" x14ac:dyDescent="0.15">
      <c r="A61" s="1" t="s">
        <v>50</v>
      </c>
    </row>
    <row r="62" spans="1:11" x14ac:dyDescent="0.15">
      <c r="A62" s="19" t="s">
        <v>58</v>
      </c>
      <c r="B62" s="20"/>
      <c r="C62" s="20"/>
      <c r="D62" s="20"/>
      <c r="E62" s="20"/>
      <c r="F62" s="20"/>
      <c r="G62" s="20"/>
      <c r="H62" s="20"/>
      <c r="I62" s="20"/>
      <c r="J62" s="20"/>
      <c r="K62" s="20"/>
    </row>
    <row r="63" spans="1:11" x14ac:dyDescent="0.15">
      <c r="A63" s="20" t="s">
        <v>28</v>
      </c>
      <c r="B63" s="20"/>
      <c r="C63" s="20"/>
      <c r="D63" s="20"/>
      <c r="E63" s="20"/>
      <c r="F63" s="20"/>
      <c r="G63" s="20"/>
      <c r="H63" s="20"/>
      <c r="I63" s="20"/>
      <c r="J63" s="20"/>
      <c r="K63" s="20"/>
    </row>
    <row r="64" spans="1:11" ht="48.5" customHeight="1" x14ac:dyDescent="0.15">
      <c r="A64" s="20" t="s">
        <v>28</v>
      </c>
      <c r="B64" s="20"/>
      <c r="C64" s="20"/>
      <c r="D64" s="20"/>
      <c r="E64" s="20"/>
      <c r="F64" s="20"/>
      <c r="G64" s="20"/>
      <c r="H64" s="20"/>
      <c r="I64" s="20"/>
      <c r="J64" s="20"/>
      <c r="K64" s="20"/>
    </row>
    <row r="65" spans="1:11" x14ac:dyDescent="0.15">
      <c r="A65" s="7" t="s">
        <v>59</v>
      </c>
      <c r="G65" s="1" t="s">
        <v>48</v>
      </c>
      <c r="H65" s="10">
        <v>14</v>
      </c>
      <c r="I65" s="1" t="s">
        <v>49</v>
      </c>
      <c r="J65" s="10">
        <v>17</v>
      </c>
    </row>
    <row r="66" spans="1:11" x14ac:dyDescent="0.15">
      <c r="A66" s="1" t="s">
        <v>50</v>
      </c>
    </row>
    <row r="67" spans="1:11" x14ac:dyDescent="0.15">
      <c r="A67" s="19" t="s">
        <v>60</v>
      </c>
      <c r="B67" s="20"/>
      <c r="C67" s="20"/>
      <c r="D67" s="20"/>
      <c r="E67" s="20"/>
      <c r="F67" s="20"/>
      <c r="G67" s="20"/>
      <c r="H67" s="20"/>
      <c r="I67" s="20"/>
      <c r="J67" s="20"/>
      <c r="K67" s="20"/>
    </row>
    <row r="68" spans="1:11" x14ac:dyDescent="0.15">
      <c r="A68" s="20"/>
      <c r="B68" s="20"/>
      <c r="C68" s="20"/>
      <c r="D68" s="20"/>
      <c r="E68" s="20"/>
      <c r="F68" s="20"/>
      <c r="G68" s="20"/>
      <c r="H68" s="20"/>
      <c r="I68" s="20"/>
      <c r="J68" s="20"/>
      <c r="K68" s="20"/>
    </row>
    <row r="69" spans="1:11" ht="52.25" customHeight="1" x14ac:dyDescent="0.15">
      <c r="A69" s="20"/>
      <c r="B69" s="20"/>
      <c r="C69" s="20"/>
      <c r="D69" s="20"/>
      <c r="E69" s="20"/>
      <c r="F69" s="20"/>
      <c r="G69" s="20"/>
      <c r="H69" s="20"/>
      <c r="I69" s="20"/>
      <c r="J69" s="20"/>
      <c r="K69" s="20"/>
    </row>
    <row r="70" spans="1:11" x14ac:dyDescent="0.15">
      <c r="A70" s="7" t="s">
        <v>61</v>
      </c>
    </row>
    <row r="71" spans="1:11" x14ac:dyDescent="0.15">
      <c r="A71" s="11" t="s">
        <v>62</v>
      </c>
    </row>
    <row r="72" spans="1:11" x14ac:dyDescent="0.15">
      <c r="H72" s="12" t="s">
        <v>63</v>
      </c>
      <c r="I72" s="12"/>
      <c r="J72" s="12"/>
      <c r="K72" s="12"/>
    </row>
    <row r="73" spans="1:11" ht="15.75" customHeight="1" x14ac:dyDescent="0.15">
      <c r="H73" s="13" t="s">
        <v>64</v>
      </c>
      <c r="I73" s="13"/>
      <c r="J73" s="13"/>
      <c r="K73" s="13"/>
    </row>
    <row r="74" spans="1:11" x14ac:dyDescent="0.15">
      <c r="H74" s="14" t="s">
        <v>65</v>
      </c>
      <c r="I74" s="15"/>
      <c r="J74" s="15"/>
      <c r="K74" s="15"/>
    </row>
    <row r="80" spans="1:11" x14ac:dyDescent="0.15">
      <c r="H80" s="16" t="str">
        <f>C9</f>
        <v>Nguyễn Thị Nhung</v>
      </c>
      <c r="I80" s="16"/>
      <c r="J80" s="16"/>
      <c r="K80" s="16"/>
    </row>
    <row r="82" spans="1:11" x14ac:dyDescent="0.15">
      <c r="A82" s="7" t="s">
        <v>66</v>
      </c>
    </row>
    <row r="83" spans="1:11" x14ac:dyDescent="0.15">
      <c r="H83" s="17" t="s">
        <v>67</v>
      </c>
      <c r="I83" s="17"/>
      <c r="J83" s="17"/>
      <c r="K83" s="17"/>
    </row>
    <row r="84" spans="1:11" x14ac:dyDescent="0.15">
      <c r="H84" s="13" t="s">
        <v>68</v>
      </c>
      <c r="I84" s="13"/>
      <c r="J84" s="13"/>
      <c r="K84" s="13"/>
    </row>
    <row r="85" spans="1:11" x14ac:dyDescent="0.15">
      <c r="H85" s="14" t="s">
        <v>65</v>
      </c>
      <c r="I85" s="13"/>
      <c r="J85" s="13"/>
      <c r="K85" s="13"/>
    </row>
    <row r="91" spans="1:11" x14ac:dyDescent="0.15">
      <c r="H91" s="16" t="str">
        <f>C13</f>
        <v>Trần Hải Anh</v>
      </c>
      <c r="I91" s="16"/>
      <c r="J91" s="16"/>
      <c r="K91" s="16"/>
    </row>
  </sheetData>
  <sheetProtection algorithmName="SHA-512" hashValue="Nu08Q1cYWGKa3AQcr42J5Sho/fvQD0DyGcxxouD9eFCQGyXuS4PflxtmR4p+a44JahY6VyWSGZssxdaG6YStXA==" saltValue="3EtgKxcDmcS78SyG92f3Dg==" spinCount="100000" sheet="1" objects="1" scenarios="1" formatCells="0" formatColumns="0" formatRows="0" insertRows="0" insertHyperlinks="0"/>
  <mergeCells count="30">
    <mergeCell ref="J1:K1"/>
    <mergeCell ref="A2:K2"/>
    <mergeCell ref="A3:K3"/>
    <mergeCell ref="A5:K5"/>
    <mergeCell ref="C9:G9"/>
    <mergeCell ref="I9:K9"/>
    <mergeCell ref="C21:K21"/>
    <mergeCell ref="C10:G10"/>
    <mergeCell ref="I10:K10"/>
    <mergeCell ref="C11:G11"/>
    <mergeCell ref="I11:K11"/>
    <mergeCell ref="C13:K13"/>
    <mergeCell ref="C14:K14"/>
    <mergeCell ref="D15:G15"/>
    <mergeCell ref="I15:K15"/>
    <mergeCell ref="A17:K17"/>
    <mergeCell ref="C19:K19"/>
    <mergeCell ref="C20:K20"/>
    <mergeCell ref="A67:K69"/>
    <mergeCell ref="A23:K23"/>
    <mergeCell ref="A26:K28"/>
    <mergeCell ref="A30:K32"/>
    <mergeCell ref="A34:K34"/>
    <mergeCell ref="A36:K38"/>
    <mergeCell ref="A40:K42"/>
    <mergeCell ref="A44:K44"/>
    <mergeCell ref="A47:K49"/>
    <mergeCell ref="A52:K54"/>
    <mergeCell ref="A57:K59"/>
    <mergeCell ref="A62:K64"/>
  </mergeCells>
  <dataValidations count="2">
    <dataValidation type="list" allowBlank="1" showInputMessage="1" showErrorMessage="1" sqref="H45 J45 H50 J50 H55 J55 H60 J60 H65 J65" xr:uid="{507212D8-9C82-4030-ACB4-C0BF566EE5E5}">
      <formula1>Tuần</formula1>
    </dataValidation>
    <dataValidation type="list" allowBlank="1" showInputMessage="1" showErrorMessage="1" sqref="C19:K21" xr:uid="{140CA780-A74C-4206-BD21-0B0C58EAB0AA}">
      <formula1>Danh_sách_phân_ban</formula1>
    </dataValidation>
  </dataValidations>
  <hyperlinks>
    <hyperlink ref="C11" r:id="rId1" xr:uid="{F7105195-4A4A-48E8-9E56-ED7AC691C43A}"/>
  </hyperlinks>
  <pageMargins left="0.7" right="0.7" top="0.75" bottom="0.75" header="0.3" footer="0.3"/>
  <pageSetup paperSize="9" scale="87" fitToHeight="0"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80d803b-ee30-4cf1-8997-d5dbef288d4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885E8D135CD643938305DEC3E1B53E" ma:contentTypeVersion="16" ma:contentTypeDescription="Create a new document." ma:contentTypeScope="" ma:versionID="9c586042dbc0a1fbee665903b619467d">
  <xsd:schema xmlns:xsd="http://www.w3.org/2001/XMLSchema" xmlns:xs="http://www.w3.org/2001/XMLSchema" xmlns:p="http://schemas.microsoft.com/office/2006/metadata/properties" xmlns:ns3="c80d803b-ee30-4cf1-8997-d5dbef288d47" xmlns:ns4="1c1e4822-5b82-4cb4-a39e-28e929ec74cb" targetNamespace="http://schemas.microsoft.com/office/2006/metadata/properties" ma:root="true" ma:fieldsID="8b29d9ccc9e0f9637f8afdac28829a77" ns3:_="" ns4:_="">
    <xsd:import namespace="c80d803b-ee30-4cf1-8997-d5dbef288d47"/>
    <xsd:import namespace="1c1e4822-5b82-4cb4-a39e-28e929ec74c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MediaServiceLocation" minOccurs="0"/>
                <xsd:element ref="ns3:_activity" minOccurs="0"/>
                <xsd:element ref="ns3:MediaServiceObjectDetectorVersions" minOccurs="0"/>
                <xsd:element ref="ns3:MediaServiceSystemTag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0d803b-ee30-4cf1-8997-d5dbef288d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1e4822-5b82-4cb4-a39e-28e929ec74cb"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SharingHintHash" ma:index="2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F8944C-0D96-46AF-AEE3-07E23EE23022}">
  <ds:schemaRefs>
    <ds:schemaRef ds:uri="http://schemas.microsoft.com/office/2006/documentManagement/types"/>
    <ds:schemaRef ds:uri="1c1e4822-5b82-4cb4-a39e-28e929ec74cb"/>
    <ds:schemaRef ds:uri="http://www.w3.org/XML/1998/namespace"/>
    <ds:schemaRef ds:uri="http://schemas.openxmlformats.org/package/2006/metadata/core-properties"/>
    <ds:schemaRef ds:uri="http://purl.org/dc/terms/"/>
    <ds:schemaRef ds:uri="http://schemas.microsoft.com/office/2006/metadata/properties"/>
    <ds:schemaRef ds:uri="http://purl.org/dc/elements/1.1/"/>
    <ds:schemaRef ds:uri="http://purl.org/dc/dcmitype/"/>
    <ds:schemaRef ds:uri="c80d803b-ee30-4cf1-8997-d5dbef288d47"/>
    <ds:schemaRef ds:uri="http://schemas.microsoft.com/office/infopath/2007/PartnerControls"/>
  </ds:schemaRefs>
</ds:datastoreItem>
</file>

<file path=customXml/itemProps2.xml><?xml version="1.0" encoding="utf-8"?>
<ds:datastoreItem xmlns:ds="http://schemas.openxmlformats.org/officeDocument/2006/customXml" ds:itemID="{454E134C-1A77-48E4-9D05-8022AC5AB645}">
  <ds:schemaRefs>
    <ds:schemaRef ds:uri="http://schemas.microsoft.com/sharepoint/v3/contenttype/forms"/>
  </ds:schemaRefs>
</ds:datastoreItem>
</file>

<file path=customXml/itemProps3.xml><?xml version="1.0" encoding="utf-8"?>
<ds:datastoreItem xmlns:ds="http://schemas.openxmlformats.org/officeDocument/2006/customXml" ds:itemID="{6E1615C4-D616-40C5-B052-3FD9C04CDA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80d803b-ee30-4cf1-8997-d5dbef288d47"/>
    <ds:schemaRef ds:uri="1c1e4822-5b82-4cb4-a39e-28e929ec7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Cử nhân</vt:lpstr>
      <vt:lpstr>'Cử nhân'!Print_Area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Nhung 20225754</dc:creator>
  <cp:lastModifiedBy>Trần Hải Anh</cp:lastModifiedBy>
  <dcterms:created xsi:type="dcterms:W3CDTF">2026-04-25T16:46:38Z</dcterms:created>
  <dcterms:modified xsi:type="dcterms:W3CDTF">2026-04-28T04:28:34Z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0x01010091885E8D135CD643938305DEC3E1B53E</vt:lpwstr>
  </property>
</Properties>
</file>